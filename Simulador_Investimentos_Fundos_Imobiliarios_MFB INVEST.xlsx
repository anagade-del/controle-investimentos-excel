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87d8fb79a58102/Desktop/CONTROLES MFB/ANA/"/>
    </mc:Choice>
  </mc:AlternateContent>
  <xr:revisionPtr revIDLastSave="145" documentId="8_{BF25A4B7-4B4F-45F5-A872-A083357B429A}" xr6:coauthVersionLast="47" xr6:coauthVersionMax="47" xr10:uidLastSave="{2A4EF124-1999-46ED-A4CA-C748585EE3FB}"/>
  <bookViews>
    <workbookView xWindow="-120" yWindow="-120" windowWidth="29040" windowHeight="15720" xr2:uid="{AF5A2F14-FADC-483F-8740-E1B00B1F25C6}"/>
  </bookViews>
  <sheets>
    <sheet name="APP" sheetId="1" r:id="rId1"/>
    <sheet name="PERFIL" sheetId="3" r:id="rId2"/>
  </sheets>
  <externalReferences>
    <externalReference r:id="rId3"/>
  </externalReferences>
  <definedNames>
    <definedName name="aporte">APP!$H$20</definedName>
    <definedName name="patrimonio">APP!$H$23</definedName>
    <definedName name="qtd_anos">APP!$H$21</definedName>
    <definedName name="rendimento_carteira">APP!$H$15</definedName>
    <definedName name="salario">APP!$H$14</definedName>
    <definedName name="taxa_mensal">APP!$H$22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0" i="1" l="1"/>
  <c r="I41" i="1"/>
  <c r="I42" i="1"/>
  <c r="I43" i="1"/>
  <c r="I44" i="1"/>
  <c r="G40" i="1"/>
  <c r="G41" i="1"/>
  <c r="G42" i="1"/>
  <c r="G43" i="1"/>
  <c r="G44" i="1"/>
  <c r="I39" i="1"/>
  <c r="G39" i="1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H4" i="3" s="1"/>
  <c r="H36" i="1"/>
  <c r="G29" i="1"/>
  <c r="G30" i="1"/>
  <c r="G31" i="1"/>
  <c r="I31" i="1" s="1"/>
  <c r="G32" i="1"/>
  <c r="I32" i="1"/>
  <c r="G28" i="1"/>
  <c r="I28" i="1" s="1"/>
  <c r="I30" i="1"/>
  <c r="I29" i="1"/>
  <c r="H23" i="1"/>
  <c r="H24" i="1" s="1"/>
  <c r="H16" i="1"/>
  <c r="I45" i="1" l="1"/>
</calcChain>
</file>

<file path=xl/sharedStrings.xml><?xml version="1.0" encoding="utf-8"?>
<sst xmlns="http://schemas.openxmlformats.org/spreadsheetml/2006/main" count="71" uniqueCount="34">
  <si>
    <t>CONFIGURAÇÕES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</si>
  <si>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</si>
  <si>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</si>
  <si>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</si>
  <si>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</si>
  <si>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</si>
  <si>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</si>
  <si>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  Salário</t>
  </si>
  <si>
    <t xml:space="preserve">   Rendimento Carteira</t>
  </si>
  <si>
    <t xml:space="preserve">   Sugestão de Investimento (30%)</t>
  </si>
  <si>
    <t>Quanto em 2 Anos ?</t>
  </si>
  <si>
    <t>Quanto em 5 Anos ?</t>
  </si>
  <si>
    <t>Quanto em 10 Anos ?</t>
  </si>
  <si>
    <t>Quanto em 20 Anos ?</t>
  </si>
  <si>
    <t>Quanto em 30 Anos ?</t>
  </si>
  <si>
    <t>CENÁRIOS</t>
  </si>
  <si>
    <t>DIVIDENDOS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</si>
  <si>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</si>
  <si>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</si>
  <si>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</si>
  <si>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</si>
  <si>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</si>
  <si>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</si>
  <si>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</si>
  <si>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</si>
  <si>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</si>
  <si>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</si>
  <si>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</si>
  <si>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</si>
  <si>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</si>
  <si>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CHAVE</t>
  </si>
  <si>
    <t>%</t>
  </si>
  <si>
    <t>Moderado-TIJOLO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</si>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</sst>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167" formatCode="[$R$-416]\ #,##0.00"/>
    <numFmt numFmtId="168" formatCode="&quot;R$&quot;\ #,##0.00"/>
    <numFmt numFmtId="169" formatCode="&quot;R$&quot;\ #,##0.00;[Red]\-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5"/>
      <color theme="6" tint="-0.499984740745262"/>
      <name val="Arial Black"/>
      <family val="2"/>
    </font>
    <font>
      <sz val="11"/>
      <color theme="1"/>
      <name val="Arial Nova Light"/>
      <family val="2"/>
    </font>
    <font>
      <b/>
      <sz val="16"/>
      <color theme="0"/>
      <name val="Arial Black"/>
      <family val="2"/>
    </font>
    <font>
      <b/>
      <sz val="11"/>
      <color theme="1"/>
      <name val="Arial Nova Light"/>
      <family val="2"/>
    </font>
    <font>
      <b/>
      <sz val="12"/>
      <color theme="0"/>
      <name val="Arial Black"/>
      <family val="2"/>
    </font>
    <font>
      <sz val="11"/>
      <color rgb="FFECF1D1"/>
      <name val="Aptos Narrow"/>
      <family val="2"/>
      <scheme val="minor"/>
    </font>
    <font>
      <b/>
      <sz val="10"/>
      <color theme="1"/>
      <name val="Arial Nova Light"/>
      <family val="2"/>
    </font>
    <font>
      <sz val="10"/>
      <color theme="1"/>
      <name val="Arial Nova Light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ECF1D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66FF66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6" tint="-0.499984740745262"/>
      </left>
      <right style="thin">
        <color theme="9" tint="0.59996337778862885"/>
      </right>
      <top style="medium">
        <color theme="6" tint="-0.499984740745262"/>
      </top>
      <bottom style="thin">
        <color theme="9" tint="0.59996337778862885"/>
      </bottom>
      <diagonal/>
    </border>
    <border>
      <left style="thin">
        <color theme="9" tint="0.59996337778862885"/>
      </left>
      <right style="thin">
        <color theme="9" tint="0.59996337778862885"/>
      </right>
      <top style="medium">
        <color theme="6" tint="-0.499984740745262"/>
      </top>
      <bottom style="thin">
        <color theme="9" tint="0.59996337778862885"/>
      </bottom>
      <diagonal/>
    </border>
    <border>
      <left style="thin">
        <color theme="9" tint="0.59996337778862885"/>
      </left>
      <right style="medium">
        <color theme="6" tint="-0.499984740745262"/>
      </right>
      <top style="medium">
        <color theme="6" tint="-0.499984740745262"/>
      </top>
      <bottom style="thin">
        <color theme="9" tint="0.59996337778862885"/>
      </bottom>
      <diagonal/>
    </border>
    <border>
      <left style="medium">
        <color theme="6" tint="-0.499984740745262"/>
      </left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theme="9" tint="0.59996337778862885"/>
      </left>
      <right style="medium">
        <color theme="6" tint="-0.499984740745262"/>
      </right>
      <top style="thin">
        <color theme="9" tint="0.59996337778862885"/>
      </top>
      <bottom style="thin">
        <color theme="9" tint="0.59996337778862885"/>
      </bottom>
      <diagonal/>
    </border>
    <border>
      <left style="medium">
        <color theme="6" tint="-0.499984740745262"/>
      </left>
      <right style="thin">
        <color theme="9" tint="0.59996337778862885"/>
      </right>
      <top style="thin">
        <color theme="9" tint="0.59996337778862885"/>
      </top>
      <bottom style="medium">
        <color theme="6" tint="-0.499984740745262"/>
      </bottom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medium">
        <color theme="6" tint="-0.499984740745262"/>
      </bottom>
      <diagonal/>
    </border>
    <border>
      <left style="thin">
        <color theme="9" tint="0.59996337778862885"/>
      </left>
      <right style="medium">
        <color theme="6" tint="-0.499984740745262"/>
      </right>
      <top style="thin">
        <color theme="9" tint="0.59996337778862885"/>
      </top>
      <bottom style="medium">
        <color theme="6" tint="-0.499984740745262"/>
      </bottom>
      <diagonal/>
    </border>
    <border>
      <left style="medium">
        <color indexed="64"/>
      </left>
      <right style="thin">
        <color theme="9" tint="-0.24994659260841701"/>
      </right>
      <top style="medium">
        <color theme="9" tint="-0.499984740745262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medium">
        <color theme="9" tint="-0.499984740745262"/>
      </top>
      <bottom style="thin">
        <color theme="9" tint="-0.24994659260841701"/>
      </bottom>
      <diagonal/>
    </border>
    <border>
      <left style="thin">
        <color theme="9" tint="-0.24994659260841701"/>
      </left>
      <right style="medium">
        <color theme="9" tint="-0.499984740745262"/>
      </right>
      <top style="medium">
        <color theme="9" tint="-0.499984740745262"/>
      </top>
      <bottom style="thin">
        <color theme="9" tint="-0.24994659260841701"/>
      </bottom>
      <diagonal/>
    </border>
    <border>
      <left style="medium">
        <color indexed="64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medium">
        <color theme="9" tint="-0.499984740745262"/>
      </right>
      <top style="thin">
        <color theme="9" tint="-0.24994659260841701"/>
      </top>
      <bottom style="thin">
        <color theme="9" tint="-0.24994659260841701"/>
      </bottom>
      <diagonal/>
    </border>
    <border>
      <left style="medium">
        <color indexed="64"/>
      </left>
      <right style="thin">
        <color theme="9" tint="-0.24994659260841701"/>
      </right>
      <top style="thin">
        <color theme="9" tint="-0.24994659260841701"/>
      </top>
      <bottom style="medium">
        <color theme="9" tint="-0.499984740745262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medium">
        <color theme="9" tint="-0.499984740745262"/>
      </bottom>
      <diagonal/>
    </border>
    <border>
      <left style="thin">
        <color theme="9" tint="-0.24994659260841701"/>
      </left>
      <right style="medium">
        <color theme="9" tint="-0.499984740745262"/>
      </right>
      <top style="thin">
        <color theme="9" tint="-0.24994659260841701"/>
      </top>
      <bottom style="medium">
        <color theme="9" tint="-0.499984740745262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 style="medium">
        <color theme="9" tint="-0.499984740745262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medium">
        <color theme="9" tint="-0.499984740745262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/>
      <right style="thin">
        <color theme="9" tint="0.59996337778862885"/>
      </right>
      <top/>
      <bottom style="thin">
        <color theme="9" tint="0.59996337778862885"/>
      </bottom>
      <diagonal/>
    </border>
    <border>
      <left style="thin">
        <color theme="9" tint="0.59996337778862885"/>
      </left>
      <right style="thin">
        <color theme="9" tint="0.59996337778862885"/>
      </right>
      <top/>
      <bottom style="thin">
        <color theme="9" tint="0.59996337778862885"/>
      </bottom>
      <diagonal/>
    </border>
    <border>
      <left style="thin">
        <color theme="9" tint="0.59996337778862885"/>
      </left>
      <right/>
      <top/>
      <bottom style="thin">
        <color theme="9" tint="0.59996337778862885"/>
      </bottom>
      <diagonal/>
    </border>
    <border>
      <left/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theme="9" tint="0.59996337778862885"/>
      </left>
      <right/>
      <top style="thin">
        <color theme="9" tint="0.59996337778862885"/>
      </top>
      <bottom style="thin">
        <color theme="9" tint="0.59996337778862885"/>
      </bottom>
      <diagonal/>
    </border>
    <border>
      <left/>
      <right style="thin">
        <color theme="9" tint="0.59996337778862885"/>
      </right>
      <top style="thin">
        <color theme="9" tint="0.59996337778862885"/>
      </top>
      <bottom/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/>
      <diagonal/>
    </border>
    <border>
      <left style="thin">
        <color theme="9" tint="0.59996337778862885"/>
      </left>
      <right/>
      <top style="thin">
        <color theme="9" tint="0.59996337778862885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indent="3"/>
    </xf>
    <xf numFmtId="0" fontId="5" fillId="4" borderId="3" xfId="0" applyFont="1" applyFill="1" applyBorder="1" applyAlignment="1">
      <alignment horizontal="left" indent="3"/>
    </xf>
    <xf numFmtId="168" fontId="7" fillId="0" borderId="3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0" fontId="5" fillId="4" borderId="5" xfId="0" applyFont="1" applyFill="1" applyBorder="1" applyAlignment="1">
      <alignment horizontal="left" indent="3"/>
    </xf>
    <xf numFmtId="0" fontId="5" fillId="4" borderId="6" xfId="0" applyFont="1" applyFill="1" applyBorder="1" applyAlignment="1">
      <alignment horizontal="left" indent="3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0" fontId="7" fillId="0" borderId="6" xfId="0" applyNumberFormat="1" applyFont="1" applyBorder="1" applyAlignment="1">
      <alignment horizontal="center"/>
    </xf>
    <xf numFmtId="10" fontId="7" fillId="0" borderId="7" xfId="0" applyNumberFormat="1" applyFont="1" applyBorder="1" applyAlignment="1">
      <alignment horizontal="center"/>
    </xf>
    <xf numFmtId="0" fontId="7" fillId="6" borderId="5" xfId="0" applyFont="1" applyFill="1" applyBorder="1" applyAlignment="1">
      <alignment horizontal="left" indent="3"/>
    </xf>
    <xf numFmtId="0" fontId="7" fillId="6" borderId="6" xfId="0" applyFont="1" applyFill="1" applyBorder="1" applyAlignment="1">
      <alignment horizontal="left" indent="3"/>
    </xf>
    <xf numFmtId="169" fontId="7" fillId="6" borderId="6" xfId="0" applyNumberFormat="1" applyFont="1" applyFill="1" applyBorder="1" applyAlignment="1">
      <alignment horizontal="center"/>
    </xf>
    <xf numFmtId="169" fontId="7" fillId="6" borderId="7" xfId="0" applyNumberFormat="1" applyFont="1" applyFill="1" applyBorder="1" applyAlignment="1">
      <alignment horizontal="center"/>
    </xf>
    <xf numFmtId="0" fontId="7" fillId="6" borderId="8" xfId="0" applyFont="1" applyFill="1" applyBorder="1" applyAlignment="1">
      <alignment horizontal="left" indent="3"/>
    </xf>
    <xf numFmtId="0" fontId="7" fillId="6" borderId="9" xfId="0" applyFont="1" applyFill="1" applyBorder="1" applyAlignment="1">
      <alignment horizontal="left" indent="3"/>
    </xf>
    <xf numFmtId="169" fontId="7" fillId="6" borderId="9" xfId="0" applyNumberFormat="1" applyFont="1" applyFill="1" applyBorder="1" applyAlignment="1">
      <alignment horizontal="center"/>
    </xf>
    <xf numFmtId="169" fontId="7" fillId="6" borderId="10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4" borderId="5" xfId="0" applyFont="1" applyFill="1" applyBorder="1"/>
    <xf numFmtId="0" fontId="5" fillId="4" borderId="6" xfId="0" applyFont="1" applyFill="1" applyBorder="1"/>
    <xf numFmtId="167" fontId="5" fillId="0" borderId="6" xfId="1" applyNumberFormat="1" applyFont="1" applyBorder="1" applyAlignment="1">
      <alignment horizontal="center"/>
    </xf>
    <xf numFmtId="167" fontId="5" fillId="0" borderId="7" xfId="1" applyNumberFormat="1" applyFont="1" applyBorder="1" applyAlignment="1">
      <alignment horizontal="center"/>
    </xf>
    <xf numFmtId="10" fontId="5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4" borderId="8" xfId="0" applyFont="1" applyFill="1" applyBorder="1"/>
    <xf numFmtId="0" fontId="5" fillId="4" borderId="9" xfId="0" applyFont="1" applyFill="1" applyBorder="1"/>
    <xf numFmtId="167" fontId="5" fillId="4" borderId="9" xfId="0" applyNumberFormat="1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left" indent="3"/>
    </xf>
    <xf numFmtId="0" fontId="5" fillId="6" borderId="15" xfId="0" applyFont="1" applyFill="1" applyBorder="1" applyAlignment="1">
      <alignment horizontal="left" indent="3"/>
    </xf>
    <xf numFmtId="168" fontId="5" fillId="6" borderId="15" xfId="0" applyNumberFormat="1" applyFont="1" applyFill="1" applyBorder="1" applyAlignment="1">
      <alignment horizontal="center"/>
    </xf>
    <xf numFmtId="168" fontId="5" fillId="6" borderId="16" xfId="0" applyNumberFormat="1" applyFont="1" applyFill="1" applyBorder="1" applyAlignment="1">
      <alignment horizontal="center"/>
    </xf>
    <xf numFmtId="0" fontId="5" fillId="6" borderId="17" xfId="0" applyFont="1" applyFill="1" applyBorder="1" applyAlignment="1">
      <alignment horizontal="left" indent="3"/>
    </xf>
    <xf numFmtId="0" fontId="5" fillId="6" borderId="18" xfId="0" applyFont="1" applyFill="1" applyBorder="1" applyAlignment="1">
      <alignment horizontal="left" indent="3"/>
    </xf>
    <xf numFmtId="168" fontId="5" fillId="6" borderId="18" xfId="0" applyNumberFormat="1" applyFont="1" applyFill="1" applyBorder="1" applyAlignment="1">
      <alignment horizontal="center"/>
    </xf>
    <xf numFmtId="168" fontId="5" fillId="6" borderId="19" xfId="0" applyNumberFormat="1" applyFont="1" applyFill="1" applyBorder="1" applyAlignment="1">
      <alignment horizontal="center"/>
    </xf>
    <xf numFmtId="0" fontId="3" fillId="0" borderId="0" xfId="0" applyFont="1"/>
    <xf numFmtId="168" fontId="5" fillId="6" borderId="20" xfId="0" applyNumberFormat="1" applyFont="1" applyFill="1" applyBorder="1" applyAlignment="1">
      <alignment horizontal="center"/>
    </xf>
    <xf numFmtId="168" fontId="5" fillId="6" borderId="21" xfId="0" applyNumberFormat="1" applyFont="1" applyFill="1" applyBorder="1" applyAlignment="1">
      <alignment horizontal="center"/>
    </xf>
    <xf numFmtId="168" fontId="5" fillId="6" borderId="22" xfId="0" applyNumberFormat="1" applyFont="1" applyFill="1" applyBorder="1" applyAlignment="1">
      <alignment horizontal="center"/>
    </xf>
    <xf numFmtId="168" fontId="5" fillId="6" borderId="23" xfId="0" applyNumberFormat="1" applyFont="1" applyFill="1" applyBorder="1" applyAlignment="1">
      <alignment horizontal="center"/>
    </xf>
    <xf numFmtId="0" fontId="9" fillId="7" borderId="24" xfId="0" applyFont="1" applyFill="1" applyBorder="1"/>
    <xf numFmtId="0" fontId="9" fillId="7" borderId="25" xfId="0" applyFont="1" applyFill="1" applyBorder="1"/>
    <xf numFmtId="0" fontId="9" fillId="7" borderId="25" xfId="0" applyFont="1" applyFill="1" applyBorder="1" applyAlignment="1">
      <alignment horizontal="center"/>
    </xf>
    <xf numFmtId="0" fontId="9" fillId="7" borderId="26" xfId="0" applyFont="1" applyFill="1" applyBorder="1" applyAlignment="1">
      <alignment horizontal="center"/>
    </xf>
    <xf numFmtId="0" fontId="0" fillId="0" borderId="27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9" fontId="0" fillId="0" borderId="28" xfId="0" applyNumberForma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30" xfId="0" applyBorder="1" applyAlignment="1">
      <alignment horizontal="center"/>
    </xf>
    <xf numFmtId="9" fontId="0" fillId="0" borderId="31" xfId="0" applyNumberFormat="1" applyBorder="1" applyAlignment="1">
      <alignment horizontal="center"/>
    </xf>
    <xf numFmtId="0" fontId="2" fillId="2" borderId="0" xfId="2"/>
    <xf numFmtId="9" fontId="2" fillId="2" borderId="0" xfId="2" applyNumberFormat="1"/>
    <xf numFmtId="0" fontId="0" fillId="9" borderId="27" xfId="0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9" fontId="0" fillId="9" borderId="28" xfId="0" applyNumberFormat="1" applyFill="1" applyBorder="1" applyAlignment="1">
      <alignment horizontal="center"/>
    </xf>
    <xf numFmtId="0" fontId="5" fillId="0" borderId="0" xfId="0" applyFont="1"/>
    <xf numFmtId="0" fontId="10" fillId="8" borderId="0" xfId="0" applyFont="1" applyFill="1" applyAlignment="1">
      <alignment horizontal="center"/>
    </xf>
    <xf numFmtId="0" fontId="10" fillId="8" borderId="0" xfId="0" applyFont="1" applyFill="1" applyAlignment="1"/>
    <xf numFmtId="0" fontId="11" fillId="0" borderId="0" xfId="0" applyFont="1" applyAlignment="1">
      <alignment horizontal="center"/>
    </xf>
    <xf numFmtId="9" fontId="11" fillId="0" borderId="0" xfId="0" applyNumberFormat="1" applyFont="1" applyAlignment="1">
      <alignment horizontal="center"/>
    </xf>
    <xf numFmtId="168" fontId="11" fillId="4" borderId="0" xfId="0" applyNumberFormat="1" applyFont="1" applyFill="1" applyAlignment="1">
      <alignment horizontal="center"/>
    </xf>
    <xf numFmtId="168" fontId="10" fillId="8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left"/>
    </xf>
    <xf numFmtId="168" fontId="10" fillId="4" borderId="0" xfId="1" applyNumberFormat="1" applyFont="1" applyFill="1" applyAlignment="1">
      <alignment horizontal="center"/>
    </xf>
    <xf numFmtId="0" fontId="2" fillId="2" borderId="0" xfId="2" applyAlignment="1">
      <alignment horizontal="left"/>
    </xf>
    <xf numFmtId="0" fontId="2" fillId="2" borderId="0" xfId="2" applyAlignment="1">
      <alignment horizontal="center"/>
    </xf>
  </cellXfs>
  <cellStyles count="3">
    <cellStyle name="Correto" xfId="2" builtinId="26"/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66FF66"/>
      <color rgb="FFECF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APP!$B$39:$B$44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APP!$G$39:$G$44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E15-42E7-9B57-2C849AB9E70C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cat>
            <c:strRef>
              <c:f>APP!$B$39:$B$44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APP!$H$39:$H$44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8-3E15-42E7-9B57-2C849AB9E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0</xdr:row>
      <xdr:rowOff>171449</xdr:rowOff>
    </xdr:from>
    <xdr:to>
      <xdr:col>9</xdr:col>
      <xdr:colOff>838201</xdr:colOff>
      <xdr:row>9</xdr:row>
      <xdr:rowOff>38100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0CAE7FC-F069-31AF-47A7-C13A9EF79C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5" t="9302" r="3252" b="17167"/>
        <a:stretch>
          <a:fillRect/>
        </a:stretch>
      </xdr:blipFill>
      <xdr:spPr>
        <a:xfrm>
          <a:off x="238126" y="171449"/>
          <a:ext cx="5772150" cy="1581151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1</xdr:col>
      <xdr:colOff>0</xdr:colOff>
      <xdr:row>46</xdr:row>
      <xdr:rowOff>9526</xdr:rowOff>
    </xdr:from>
    <xdr:to>
      <xdr:col>10</xdr:col>
      <xdr:colOff>0</xdr:colOff>
      <xdr:row>59</xdr:row>
      <xdr:rowOff>128362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6F29B5B-9776-48B4-8E72-2DB79D885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587d8fb79a58102/Desktop/CONTROLES%20MFB/ANA/Simulador_Investimentos_Fundos_Imobiliarios.xlsx" TargetMode="External"/><Relationship Id="rId1" Type="http://schemas.openxmlformats.org/officeDocument/2006/relationships/externalLinkPath" Target="Simulador_Investimentos_Fundos_Imobilia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"/>
      <sheetName val="Planilha2"/>
    </sheetNames>
    <sheetDataSet>
      <sheetData sheetId="0">
        <row r="35">
          <cell r="C35" t="str">
            <v>Percentual Sugerido</v>
          </cell>
        </row>
        <row r="36">
          <cell r="B36" t="str">
            <v>PAPEL</v>
          </cell>
          <cell r="C36">
            <v>0.32</v>
          </cell>
        </row>
        <row r="37">
          <cell r="B37" t="str">
            <v>TIJOLO</v>
          </cell>
          <cell r="C37">
            <v>0.35</v>
          </cell>
        </row>
        <row r="38">
          <cell r="B38" t="str">
            <v>HÍBRIDOS</v>
          </cell>
          <cell r="C38">
            <v>0.08</v>
          </cell>
        </row>
        <row r="39">
          <cell r="B39" t="str">
            <v>FOFs</v>
          </cell>
          <cell r="C39">
            <v>0.05</v>
          </cell>
        </row>
        <row r="40">
          <cell r="B40" t="str">
            <v>DESENVOLVIMENTO</v>
          </cell>
          <cell r="C40">
            <v>0.1</v>
          </cell>
        </row>
        <row r="41">
          <cell r="B41" t="str">
            <v>HOTELARIAS</v>
          </cell>
          <cell r="C41">
            <v>0.1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BC36-D22D-4507-9345-F80EF917BEC7}">
  <dimension ref="A11:J45"/>
  <sheetViews>
    <sheetView tabSelected="1" workbookViewId="0">
      <selection activeCell="M18" sqref="M18"/>
    </sheetView>
  </sheetViews>
  <sheetFormatPr defaultRowHeight="15" x14ac:dyDescent="0.25"/>
  <cols>
    <col min="1" max="1" width="2.42578125" customWidth="1"/>
    <col min="8" max="8" width="11.140625" customWidth="1"/>
    <col min="10" max="10" width="14" customWidth="1"/>
    <col min="11" max="11" width="2.5703125" customWidth="1"/>
  </cols>
  <sheetData>
    <row r="11" spans="2:10" ht="15.75" thickBot="1" x14ac:dyDescent="0.3"/>
    <row r="12" spans="2:10" x14ac:dyDescent="0.25">
      <c r="B12" s="22" t="s">
        <v>0</v>
      </c>
      <c r="C12" s="23"/>
      <c r="D12" s="23"/>
      <c r="E12" s="23"/>
      <c r="F12" s="23"/>
      <c r="G12" s="23"/>
      <c r="H12" s="23"/>
      <c r="I12" s="23"/>
      <c r="J12" s="24"/>
    </row>
    <row r="13" spans="2:10" x14ac:dyDescent="0.25">
      <c r="B13" s="25"/>
      <c r="C13" s="26"/>
      <c r="D13" s="26"/>
      <c r="E13" s="26"/>
      <c r="F13" s="26"/>
      <c r="G13" s="26"/>
      <c r="H13" s="26"/>
      <c r="I13" s="26"/>
      <c r="J13" s="27"/>
    </row>
    <row r="14" spans="2:10" x14ac:dyDescent="0.25">
      <c r="B14" s="28" t="s">
        <v>7</v>
      </c>
      <c r="C14" s="29"/>
      <c r="D14" s="29"/>
      <c r="E14" s="29"/>
      <c r="F14" s="29"/>
      <c r="G14" s="29"/>
      <c r="H14" s="30">
        <v>5000</v>
      </c>
      <c r="I14" s="30"/>
      <c r="J14" s="31"/>
    </row>
    <row r="15" spans="2:10" x14ac:dyDescent="0.25">
      <c r="B15" s="28" t="s">
        <v>8</v>
      </c>
      <c r="C15" s="29"/>
      <c r="D15" s="29"/>
      <c r="E15" s="29"/>
      <c r="F15" s="29"/>
      <c r="G15" s="29"/>
      <c r="H15" s="32">
        <v>6.0000000000000001E-3</v>
      </c>
      <c r="I15" s="33"/>
      <c r="J15" s="34"/>
    </row>
    <row r="16" spans="2:10" ht="15.75" thickBot="1" x14ac:dyDescent="0.3">
      <c r="B16" s="35" t="s">
        <v>9</v>
      </c>
      <c r="C16" s="36"/>
      <c r="D16" s="36"/>
      <c r="E16" s="36"/>
      <c r="F16" s="36"/>
      <c r="G16" s="36"/>
      <c r="H16" s="37">
        <f>$H$14*0.3</f>
        <v>1500</v>
      </c>
      <c r="I16" s="38"/>
      <c r="J16" s="39"/>
    </row>
    <row r="18" spans="1:10" ht="16.5" customHeight="1" x14ac:dyDescent="0.25">
      <c r="B18" s="2" t="s">
        <v>1</v>
      </c>
      <c r="C18" s="3"/>
      <c r="D18" s="3"/>
      <c r="E18" s="3"/>
      <c r="F18" s="3"/>
      <c r="G18" s="3"/>
      <c r="H18" s="3"/>
      <c r="I18" s="3"/>
      <c r="J18" s="3"/>
    </row>
    <row r="19" spans="1:10" ht="16.5" customHeight="1" thickBot="1" x14ac:dyDescent="0.3">
      <c r="B19" s="2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B20" s="4" t="s">
        <v>2</v>
      </c>
      <c r="C20" s="5"/>
      <c r="D20" s="5"/>
      <c r="E20" s="5"/>
      <c r="F20" s="5"/>
      <c r="G20" s="5"/>
      <c r="H20" s="6">
        <v>500</v>
      </c>
      <c r="I20" s="6"/>
      <c r="J20" s="7"/>
    </row>
    <row r="21" spans="1:10" x14ac:dyDescent="0.25">
      <c r="B21" s="8" t="s">
        <v>3</v>
      </c>
      <c r="C21" s="9"/>
      <c r="D21" s="9"/>
      <c r="E21" s="9"/>
      <c r="F21" s="9"/>
      <c r="G21" s="9"/>
      <c r="H21" s="10">
        <v>5</v>
      </c>
      <c r="I21" s="10"/>
      <c r="J21" s="11"/>
    </row>
    <row r="22" spans="1:10" x14ac:dyDescent="0.25">
      <c r="B22" s="8" t="s">
        <v>4</v>
      </c>
      <c r="C22" s="9"/>
      <c r="D22" s="9"/>
      <c r="E22" s="9"/>
      <c r="F22" s="9"/>
      <c r="G22" s="9"/>
      <c r="H22" s="12">
        <v>1.0789999999999999E-2</v>
      </c>
      <c r="I22" s="12"/>
      <c r="J22" s="13"/>
    </row>
    <row r="23" spans="1:10" x14ac:dyDescent="0.25">
      <c r="B23" s="14" t="s">
        <v>5</v>
      </c>
      <c r="C23" s="15"/>
      <c r="D23" s="15"/>
      <c r="E23" s="15"/>
      <c r="F23" s="15"/>
      <c r="G23" s="15"/>
      <c r="H23" s="16">
        <f>FV(taxa_mensal,qtd_anos*12,aporte*-1)</f>
        <v>41888.456999243819</v>
      </c>
      <c r="I23" s="16"/>
      <c r="J23" s="17"/>
    </row>
    <row r="24" spans="1:10" ht="15.75" thickBot="1" x14ac:dyDescent="0.3">
      <c r="B24" s="18" t="s">
        <v>6</v>
      </c>
      <c r="C24" s="19"/>
      <c r="D24" s="19"/>
      <c r="E24" s="19"/>
      <c r="F24" s="19"/>
      <c r="G24" s="19"/>
      <c r="H24" s="20">
        <f>patrimonio*rendimento_carteira</f>
        <v>251.33074199546292</v>
      </c>
      <c r="I24" s="20"/>
      <c r="J24" s="21"/>
    </row>
    <row r="25" spans="1:10" ht="15.75" thickBot="1" x14ac:dyDescent="0.3"/>
    <row r="26" spans="1:10" x14ac:dyDescent="0.25">
      <c r="B26" s="40" t="s">
        <v>15</v>
      </c>
      <c r="C26" s="41"/>
      <c r="D26" s="41"/>
      <c r="E26" s="41"/>
      <c r="F26" s="41"/>
      <c r="G26" s="41"/>
      <c r="H26" s="41"/>
      <c r="I26" s="41" t="s">
        <v>16</v>
      </c>
      <c r="J26" s="42"/>
    </row>
    <row r="27" spans="1:10" x14ac:dyDescent="0.25">
      <c r="B27" s="43"/>
      <c r="C27" s="44"/>
      <c r="D27" s="44"/>
      <c r="E27" s="44"/>
      <c r="F27" s="44"/>
      <c r="G27" s="44"/>
      <c r="H27" s="44"/>
      <c r="I27" s="44"/>
      <c r="J27" s="45"/>
    </row>
    <row r="28" spans="1:10" x14ac:dyDescent="0.25">
      <c r="A28" s="54">
        <v>2</v>
      </c>
      <c r="B28" s="46" t="s">
        <v>10</v>
      </c>
      <c r="C28" s="47"/>
      <c r="D28" s="47"/>
      <c r="E28" s="47"/>
      <c r="F28" s="47"/>
      <c r="G28" s="48">
        <f>FV($H$22,$A28*12,$H$20*-1)</f>
        <v>13613.813648822608</v>
      </c>
      <c r="H28" s="48"/>
      <c r="I28" s="48">
        <f>G28*rendimento_carteira</f>
        <v>81.682881892935654</v>
      </c>
      <c r="J28" s="49"/>
    </row>
    <row r="29" spans="1:10" x14ac:dyDescent="0.25">
      <c r="A29" s="54">
        <v>5</v>
      </c>
      <c r="B29" s="46" t="s">
        <v>11</v>
      </c>
      <c r="C29" s="47"/>
      <c r="D29" s="47"/>
      <c r="E29" s="47"/>
      <c r="F29" s="47"/>
      <c r="G29" s="57">
        <f t="shared" ref="G29:G32" si="0">FV($H$22,$A29*12,$H$20*-1)</f>
        <v>41888.456999243819</v>
      </c>
      <c r="H29" s="58"/>
      <c r="I29" s="48">
        <f>G29*rendimento_carteira</f>
        <v>251.33074199546292</v>
      </c>
      <c r="J29" s="49"/>
    </row>
    <row r="30" spans="1:10" x14ac:dyDescent="0.25">
      <c r="A30" s="54">
        <v>10</v>
      </c>
      <c r="B30" s="46" t="s">
        <v>12</v>
      </c>
      <c r="C30" s="47"/>
      <c r="D30" s="47"/>
      <c r="E30" s="47"/>
      <c r="F30" s="47"/>
      <c r="G30" s="57">
        <f t="shared" si="0"/>
        <v>121642.1062650861</v>
      </c>
      <c r="H30" s="58"/>
      <c r="I30" s="48">
        <f>G30*rendimento_carteira</f>
        <v>729.85263759051657</v>
      </c>
      <c r="J30" s="49"/>
    </row>
    <row r="31" spans="1:10" x14ac:dyDescent="0.25">
      <c r="A31" s="54">
        <v>20</v>
      </c>
      <c r="B31" s="46" t="s">
        <v>13</v>
      </c>
      <c r="C31" s="47"/>
      <c r="D31" s="47"/>
      <c r="E31" s="47"/>
      <c r="F31" s="47"/>
      <c r="G31" s="57">
        <f t="shared" si="0"/>
        <v>562599.20004854025</v>
      </c>
      <c r="H31" s="58"/>
      <c r="I31" s="48">
        <f>G31*rendimento_carteira</f>
        <v>3375.5952002912418</v>
      </c>
      <c r="J31" s="49"/>
    </row>
    <row r="32" spans="1:10" ht="15.75" thickBot="1" x14ac:dyDescent="0.3">
      <c r="A32" s="54">
        <v>30</v>
      </c>
      <c r="B32" s="50" t="s">
        <v>14</v>
      </c>
      <c r="C32" s="51"/>
      <c r="D32" s="51"/>
      <c r="E32" s="51"/>
      <c r="F32" s="51"/>
      <c r="G32" s="55">
        <f t="shared" si="0"/>
        <v>2161084.8275023573</v>
      </c>
      <c r="H32" s="56"/>
      <c r="I32" s="52">
        <f>G32*rendimento_carteira</f>
        <v>12966.508965014144</v>
      </c>
      <c r="J32" s="53"/>
    </row>
    <row r="35" spans="2:10" x14ac:dyDescent="0.25">
      <c r="B35" s="86" t="s">
        <v>17</v>
      </c>
      <c r="C35" s="86"/>
      <c r="D35" s="86"/>
      <c r="E35" s="86"/>
      <c r="F35" s="86"/>
      <c r="G35" s="86"/>
      <c r="H35" s="87" t="s">
        <v>18</v>
      </c>
      <c r="I35" s="87"/>
      <c r="J35" s="87"/>
    </row>
    <row r="36" spans="2:10" x14ac:dyDescent="0.25">
      <c r="B36" s="84" t="s">
        <v>19</v>
      </c>
      <c r="C36" s="84"/>
      <c r="D36" s="84"/>
      <c r="E36" s="84"/>
      <c r="F36" s="84"/>
      <c r="G36" s="84"/>
      <c r="H36" s="85">
        <f>aporte</f>
        <v>500</v>
      </c>
      <c r="I36" s="85"/>
      <c r="J36" s="85"/>
    </row>
    <row r="37" spans="2:10" x14ac:dyDescent="0.25">
      <c r="B37" s="77"/>
      <c r="C37" s="77"/>
      <c r="D37" s="77"/>
      <c r="E37" s="77"/>
      <c r="F37" s="77"/>
      <c r="G37" s="77"/>
      <c r="H37" s="77"/>
      <c r="I37" s="77"/>
      <c r="J37" s="77"/>
    </row>
    <row r="38" spans="2:10" x14ac:dyDescent="0.25">
      <c r="B38" s="78" t="s">
        <v>20</v>
      </c>
      <c r="C38" s="78"/>
      <c r="D38" s="78"/>
      <c r="E38" s="78"/>
      <c r="F38" s="78"/>
      <c r="G38" s="79" t="s">
        <v>21</v>
      </c>
      <c r="H38" s="79"/>
      <c r="I38" s="78" t="s">
        <v>22</v>
      </c>
      <c r="J38" s="78"/>
    </row>
    <row r="39" spans="2:10" x14ac:dyDescent="0.25">
      <c r="B39" s="80" t="s">
        <v>23</v>
      </c>
      <c r="C39" s="80"/>
      <c r="D39" s="80"/>
      <c r="E39" s="80"/>
      <c r="F39" s="80"/>
      <c r="G39" s="81">
        <f>VLOOKUP($H$35&amp;"-"&amp;B39,PERFIL!$A:$D,4,FALSE)</f>
        <v>0.32</v>
      </c>
      <c r="H39" s="81"/>
      <c r="I39" s="82">
        <f>G39*aporte</f>
        <v>160</v>
      </c>
      <c r="J39" s="82"/>
    </row>
    <row r="40" spans="2:10" x14ac:dyDescent="0.25">
      <c r="B40" s="80" t="s">
        <v>24</v>
      </c>
      <c r="C40" s="80"/>
      <c r="D40" s="80"/>
      <c r="E40" s="80"/>
      <c r="F40" s="80"/>
      <c r="G40" s="81">
        <f>VLOOKUP($H$35&amp;"-"&amp;B40,PERFIL!$A:$D,4,FALSE)</f>
        <v>0.35</v>
      </c>
      <c r="H40" s="81"/>
      <c r="I40" s="82">
        <f>G40*aporte</f>
        <v>175</v>
      </c>
      <c r="J40" s="82"/>
    </row>
    <row r="41" spans="2:10" x14ac:dyDescent="0.25">
      <c r="B41" s="80" t="s">
        <v>25</v>
      </c>
      <c r="C41" s="80"/>
      <c r="D41" s="80"/>
      <c r="E41" s="80"/>
      <c r="F41" s="80"/>
      <c r="G41" s="81">
        <f>VLOOKUP($H$35&amp;"-"&amp;B41,PERFIL!$A:$D,4,FALSE)</f>
        <v>0.08</v>
      </c>
      <c r="H41" s="81"/>
      <c r="I41" s="82">
        <f>G41*aporte</f>
        <v>40</v>
      </c>
      <c r="J41" s="82"/>
    </row>
    <row r="42" spans="2:10" x14ac:dyDescent="0.25">
      <c r="B42" s="80" t="s">
        <v>26</v>
      </c>
      <c r="C42" s="80"/>
      <c r="D42" s="80"/>
      <c r="E42" s="80"/>
      <c r="F42" s="80"/>
      <c r="G42" s="81">
        <f>VLOOKUP($H$35&amp;"-"&amp;B42,PERFIL!$A:$D,4,FALSE)</f>
        <v>0.05</v>
      </c>
      <c r="H42" s="81"/>
      <c r="I42" s="82">
        <f>G42*aporte</f>
        <v>25</v>
      </c>
      <c r="J42" s="82"/>
    </row>
    <row r="43" spans="2:10" x14ac:dyDescent="0.25">
      <c r="B43" s="80" t="s">
        <v>27</v>
      </c>
      <c r="C43" s="80"/>
      <c r="D43" s="80"/>
      <c r="E43" s="80"/>
      <c r="F43" s="80"/>
      <c r="G43" s="81">
        <f>VLOOKUP($H$35&amp;"-"&amp;B43,PERFIL!$A:$D,4,FALSE)</f>
        <v>0.1</v>
      </c>
      <c r="H43" s="81"/>
      <c r="I43" s="82">
        <f>G43*aporte</f>
        <v>50</v>
      </c>
      <c r="J43" s="82"/>
    </row>
    <row r="44" spans="2:10" x14ac:dyDescent="0.25">
      <c r="B44" s="80" t="s">
        <v>28</v>
      </c>
      <c r="C44" s="80"/>
      <c r="D44" s="80"/>
      <c r="E44" s="80"/>
      <c r="F44" s="80"/>
      <c r="G44" s="81">
        <f>VLOOKUP($H$35&amp;"-"&amp;B44,PERFIL!$A:$D,4,FALSE)</f>
        <v>0.1</v>
      </c>
      <c r="H44" s="81"/>
      <c r="I44" s="82">
        <f>G44*aporte</f>
        <v>50</v>
      </c>
      <c r="J44" s="82"/>
    </row>
    <row r="45" spans="2:10" x14ac:dyDescent="0.25">
      <c r="B45" s="78"/>
      <c r="C45" s="78"/>
      <c r="D45" s="78"/>
      <c r="E45" s="78"/>
      <c r="F45" s="78"/>
      <c r="G45" s="78"/>
      <c r="H45" s="78"/>
      <c r="I45" s="83">
        <f>SUM(I39:I44)</f>
        <v>500</v>
      </c>
      <c r="J45" s="83"/>
    </row>
  </sheetData>
  <mergeCells count="62">
    <mergeCell ref="B42:F42"/>
    <mergeCell ref="B43:F43"/>
    <mergeCell ref="B44:F44"/>
    <mergeCell ref="B45:H45"/>
    <mergeCell ref="I44:J44"/>
    <mergeCell ref="I45:J45"/>
    <mergeCell ref="G38:H38"/>
    <mergeCell ref="G39:H39"/>
    <mergeCell ref="G40:H40"/>
    <mergeCell ref="G41:H41"/>
    <mergeCell ref="G42:H42"/>
    <mergeCell ref="G43:H43"/>
    <mergeCell ref="G44:H44"/>
    <mergeCell ref="I38:J38"/>
    <mergeCell ref="I39:J39"/>
    <mergeCell ref="I40:J40"/>
    <mergeCell ref="I41:J41"/>
    <mergeCell ref="I42:J42"/>
    <mergeCell ref="I43:J43"/>
    <mergeCell ref="B38:F38"/>
    <mergeCell ref="B39:F39"/>
    <mergeCell ref="B40:F40"/>
    <mergeCell ref="B41:F41"/>
    <mergeCell ref="B32:F32"/>
    <mergeCell ref="B26:H27"/>
    <mergeCell ref="I26:J27"/>
    <mergeCell ref="B35:G35"/>
    <mergeCell ref="H35:J35"/>
    <mergeCell ref="H36:J36"/>
    <mergeCell ref="B36:G36"/>
    <mergeCell ref="I32:J32"/>
    <mergeCell ref="G28:H28"/>
    <mergeCell ref="G29:H29"/>
    <mergeCell ref="G30:H30"/>
    <mergeCell ref="G31:H31"/>
    <mergeCell ref="G32:H32"/>
    <mergeCell ref="B28:F28"/>
    <mergeCell ref="B29:F29"/>
    <mergeCell ref="B30:F30"/>
    <mergeCell ref="I28:J28"/>
    <mergeCell ref="I29:J29"/>
    <mergeCell ref="I30:J30"/>
    <mergeCell ref="I31:J31"/>
    <mergeCell ref="B31:F31"/>
    <mergeCell ref="B22:G22"/>
    <mergeCell ref="B23:G23"/>
    <mergeCell ref="B24:G24"/>
    <mergeCell ref="H20:J20"/>
    <mergeCell ref="H21:J21"/>
    <mergeCell ref="H22:J22"/>
    <mergeCell ref="H23:J23"/>
    <mergeCell ref="H24:J24"/>
    <mergeCell ref="B18:J19"/>
    <mergeCell ref="B20:G20"/>
    <mergeCell ref="B21:G21"/>
    <mergeCell ref="B12:J13"/>
    <mergeCell ref="B14:G14"/>
    <mergeCell ref="B15:G15"/>
    <mergeCell ref="B16:G16"/>
    <mergeCell ref="H14:J14"/>
    <mergeCell ref="H15:J15"/>
    <mergeCell ref="H16:J16"/>
  </mergeCells>
  <dataValidations count="1">
    <dataValidation type="list" allowBlank="1" showInputMessage="1" showErrorMessage="1" sqref="H35" xr:uid="{8989F370-829F-41F0-89DD-8E41C75CF050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614D-40C4-40A9-B319-11328B6F9C6F}">
  <dimension ref="A2:H21"/>
  <sheetViews>
    <sheetView workbookViewId="0">
      <selection activeCell="H4" sqref="H4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7" max="7" width="16.85546875" bestFit="1" customWidth="1"/>
    <col min="8" max="8" width="10.42578125" customWidth="1"/>
  </cols>
  <sheetData>
    <row r="2" spans="1:8" x14ac:dyDescent="0.25">
      <c r="A2" s="59" t="s">
        <v>30</v>
      </c>
      <c r="B2" s="60" t="s">
        <v>17</v>
      </c>
      <c r="C2" s="61" t="s">
        <v>20</v>
      </c>
      <c r="D2" s="62" t="s">
        <v>31</v>
      </c>
    </row>
    <row r="3" spans="1:8" x14ac:dyDescent="0.25">
      <c r="A3" s="63" t="str">
        <f>B3&amp;"-"&amp;C3</f>
        <v>Conservador-PAPEL</v>
      </c>
      <c r="B3" s="64" t="s">
        <v>29</v>
      </c>
      <c r="C3" s="65" t="s">
        <v>23</v>
      </c>
      <c r="D3" s="66">
        <v>0.3</v>
      </c>
      <c r="H3" s="1" t="s">
        <v>31</v>
      </c>
    </row>
    <row r="4" spans="1:8" x14ac:dyDescent="0.25">
      <c r="A4" s="63" t="str">
        <f t="shared" ref="A4:A20" si="0">B4&amp;"-"&amp;C4</f>
        <v>Conservador-TIJOLO</v>
      </c>
      <c r="B4" s="64" t="s">
        <v>29</v>
      </c>
      <c r="C4" s="65" t="s">
        <v>24</v>
      </c>
      <c r="D4" s="66">
        <v>0.5</v>
      </c>
      <c r="G4" s="71" t="s">
        <v>32</v>
      </c>
      <c r="H4" s="72">
        <f>VLOOKUP(G4,$A:$D,4,FALSE)</f>
        <v>0.35</v>
      </c>
    </row>
    <row r="5" spans="1:8" x14ac:dyDescent="0.25">
      <c r="A5" s="63" t="str">
        <f t="shared" si="0"/>
        <v>Conservador-HÍBRIDOS</v>
      </c>
      <c r="B5" s="64" t="s">
        <v>29</v>
      </c>
      <c r="C5" s="65" t="s">
        <v>25</v>
      </c>
      <c r="D5" s="66">
        <v>0.1</v>
      </c>
    </row>
    <row r="6" spans="1:8" x14ac:dyDescent="0.25">
      <c r="A6" s="63" t="str">
        <f t="shared" si="0"/>
        <v>Conservador-FOFs</v>
      </c>
      <c r="B6" s="64" t="s">
        <v>29</v>
      </c>
      <c r="C6" s="65" t="s">
        <v>26</v>
      </c>
      <c r="D6" s="66">
        <v>0.1</v>
      </c>
    </row>
    <row r="7" spans="1:8" x14ac:dyDescent="0.25">
      <c r="A7" s="63" t="str">
        <f t="shared" si="0"/>
        <v>Conservador-DESENVOLVIMENTO</v>
      </c>
      <c r="B7" s="64" t="s">
        <v>29</v>
      </c>
      <c r="C7" s="65" t="s">
        <v>27</v>
      </c>
      <c r="D7" s="66">
        <v>0</v>
      </c>
    </row>
    <row r="8" spans="1:8" x14ac:dyDescent="0.25">
      <c r="A8" s="63" t="str">
        <f t="shared" si="0"/>
        <v>Conservador-HOTELARIAS</v>
      </c>
      <c r="B8" s="64" t="s">
        <v>29</v>
      </c>
      <c r="C8" s="65" t="s">
        <v>28</v>
      </c>
      <c r="D8" s="66">
        <v>0</v>
      </c>
    </row>
    <row r="9" spans="1:8" x14ac:dyDescent="0.25">
      <c r="A9" s="63" t="str">
        <f t="shared" si="0"/>
        <v>Moderado-PAPEL</v>
      </c>
      <c r="B9" s="64" t="s">
        <v>18</v>
      </c>
      <c r="C9" s="65" t="s">
        <v>23</v>
      </c>
      <c r="D9" s="66">
        <v>0.32</v>
      </c>
    </row>
    <row r="10" spans="1:8" x14ac:dyDescent="0.25">
      <c r="A10" s="73" t="str">
        <f t="shared" si="0"/>
        <v>Moderado-TIJOLO</v>
      </c>
      <c r="B10" s="74" t="s">
        <v>18</v>
      </c>
      <c r="C10" s="75" t="s">
        <v>24</v>
      </c>
      <c r="D10" s="76">
        <v>0.35</v>
      </c>
    </row>
    <row r="11" spans="1:8" x14ac:dyDescent="0.25">
      <c r="A11" s="63" t="str">
        <f t="shared" si="0"/>
        <v>Moderado-HÍBRIDOS</v>
      </c>
      <c r="B11" s="64" t="s">
        <v>18</v>
      </c>
      <c r="C11" s="65" t="s">
        <v>25</v>
      </c>
      <c r="D11" s="66">
        <v>0.08</v>
      </c>
    </row>
    <row r="12" spans="1:8" x14ac:dyDescent="0.25">
      <c r="A12" s="63" t="str">
        <f t="shared" si="0"/>
        <v>Moderado-FOFs</v>
      </c>
      <c r="B12" s="64" t="s">
        <v>18</v>
      </c>
      <c r="C12" s="65" t="s">
        <v>26</v>
      </c>
      <c r="D12" s="66">
        <v>0.05</v>
      </c>
    </row>
    <row r="13" spans="1:8" x14ac:dyDescent="0.25">
      <c r="A13" s="63" t="str">
        <f t="shared" si="0"/>
        <v>Moderado-DESENVOLVIMENTO</v>
      </c>
      <c r="B13" s="64" t="s">
        <v>18</v>
      </c>
      <c r="C13" s="65" t="s">
        <v>27</v>
      </c>
      <c r="D13" s="66">
        <v>0.1</v>
      </c>
    </row>
    <row r="14" spans="1:8" x14ac:dyDescent="0.25">
      <c r="A14" s="63" t="str">
        <f t="shared" si="0"/>
        <v>Moderado-HOTELARIAS</v>
      </c>
      <c r="B14" s="64" t="s">
        <v>18</v>
      </c>
      <c r="C14" s="65" t="s">
        <v>28</v>
      </c>
      <c r="D14" s="66">
        <v>0.1</v>
      </c>
    </row>
    <row r="15" spans="1:8" x14ac:dyDescent="0.25">
      <c r="A15" s="63" t="str">
        <f t="shared" si="0"/>
        <v>Agressivo-PAPEL</v>
      </c>
      <c r="B15" s="64" t="s">
        <v>33</v>
      </c>
      <c r="C15" s="65" t="s">
        <v>23</v>
      </c>
      <c r="D15" s="66">
        <v>0.5</v>
      </c>
    </row>
    <row r="16" spans="1:8" x14ac:dyDescent="0.25">
      <c r="A16" s="63" t="str">
        <f t="shared" si="0"/>
        <v>Agressivo-TIJOLO</v>
      </c>
      <c r="B16" s="64" t="s">
        <v>33</v>
      </c>
      <c r="C16" s="65" t="s">
        <v>24</v>
      </c>
      <c r="D16" s="66">
        <v>0.1</v>
      </c>
    </row>
    <row r="17" spans="1:4" x14ac:dyDescent="0.25">
      <c r="A17" s="63" t="str">
        <f t="shared" si="0"/>
        <v>Agressivo-HÍBRIDOS</v>
      </c>
      <c r="B17" s="64" t="s">
        <v>33</v>
      </c>
      <c r="C17" s="65" t="s">
        <v>25</v>
      </c>
      <c r="D17" s="66">
        <v>0.05</v>
      </c>
    </row>
    <row r="18" spans="1:4" x14ac:dyDescent="0.25">
      <c r="A18" s="63" t="str">
        <f t="shared" si="0"/>
        <v>Agressivo-FOFs</v>
      </c>
      <c r="B18" s="64" t="s">
        <v>33</v>
      </c>
      <c r="C18" s="65" t="s">
        <v>26</v>
      </c>
      <c r="D18" s="66">
        <v>0.05</v>
      </c>
    </row>
    <row r="19" spans="1:4" x14ac:dyDescent="0.25">
      <c r="A19" s="63" t="str">
        <f t="shared" si="0"/>
        <v>Agressivo-DESENVOLVIMENTO</v>
      </c>
      <c r="B19" s="64" t="s">
        <v>33</v>
      </c>
      <c r="C19" s="65" t="s">
        <v>27</v>
      </c>
      <c r="D19" s="66">
        <v>0.2</v>
      </c>
    </row>
    <row r="20" spans="1:4" x14ac:dyDescent="0.25">
      <c r="A20" s="67" t="str">
        <f t="shared" si="0"/>
        <v>Agressivo-HOTELARIAS</v>
      </c>
      <c r="B20" s="68" t="s">
        <v>33</v>
      </c>
      <c r="C20" s="69" t="s">
        <v>28</v>
      </c>
      <c r="D20" s="70">
        <v>0.1</v>
      </c>
    </row>
    <row r="21" spans="1:4" x14ac:dyDescent="0.25">
      <c r="D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6</vt:i4>
      </vt:variant>
    </vt:vector>
  </HeadingPairs>
  <TitlesOfParts>
    <vt:vector size="8" baseType="lpstr">
      <vt:lpstr>APP</vt:lpstr>
      <vt:lpstr>PERFIL</vt:lpstr>
      <vt:lpstr>aporte</vt:lpstr>
      <vt:lpstr>patrimonio</vt:lpstr>
      <vt:lpstr>qtd_anos</vt:lpstr>
      <vt:lpstr>rendimento_carteira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 Famous Brands</dc:creator>
  <cp:lastModifiedBy>Moz Famous Brands</cp:lastModifiedBy>
  <dcterms:created xsi:type="dcterms:W3CDTF">2026-09-09T16:49:18Z</dcterms:created>
  <dcterms:modified xsi:type="dcterms:W3CDTF">2026-09-09T17:39:59Z</dcterms:modified>
</cp:coreProperties>
</file>